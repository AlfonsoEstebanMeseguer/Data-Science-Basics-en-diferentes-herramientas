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lfon\Desktop\data analys\Excel\Excel-Tutorial-main\"/>
    </mc:Choice>
  </mc:AlternateContent>
  <xr:revisionPtr revIDLastSave="0" documentId="8_{666DEAA2-6B29-4CB3-B0DE-DD9F35243F18}"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<sst xmlns="http://schemas.openxmlformats.org/spreadsheetml/2006/main" count="16274" uniqueCount="50">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</sst>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quot;$&quot;#,##0.00"/>
    <numFmt numFmtId="169" formatCode="_-* #,##0_-;\-* #,##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2"/>
      <name val="Calibri"/>
      <family val="2"/>
      <scheme val="minor"/>
    </font>
    <font>
      <sz val="11"/>
      <color theme="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3">
    <xf numFmtId="0" fontId="0" fillId="0" borderId="0" xfId="0"/>
    <xf numFmtId="164" fontId="0" fillId="0" borderId="0" xfId="0" applyNumberFormat="1"/>
    <xf numFmtId="0" fontId="18" fillId="0" borderId="0" xfId="0" applyFont="1"/>
    <xf numFmtId="2" fontId="0" fillId="0" borderId="0" xfId="0" applyNumberFormat="1"/>
    <xf numFmtId="0" fontId="0" fillId="0" borderId="0" xfId="0" pivotButton="1"/>
    <xf numFmtId="0" fontId="0" fillId="0" borderId="0" xfId="0" applyAlignment="1">
      <alignment horizontal="left"/>
    </xf>
    <xf numFmtId="169" fontId="0" fillId="0" borderId="0" xfId="42" applyNumberFormat="1" applyFont="1"/>
    <xf numFmtId="0" fontId="0" fillId="0" borderId="0" xfId="0" applyNumberFormat="1"/>
    <xf numFmtId="169" fontId="0" fillId="0" borderId="0" xfId="0" applyNumberFormat="1"/>
    <xf numFmtId="0" fontId="0" fillId="34" borderId="0" xfId="0" applyFill="1"/>
    <xf numFmtId="0" fontId="19" fillId="33" borderId="0" xfId="0" applyFont="1" applyFill="1" applyAlignment="1">
      <alignment horizontal="center" vertical="center"/>
    </xf>
    <xf numFmtId="0" fontId="20" fillId="33" borderId="0" xfId="0" applyFont="1" applyFill="1"/>
    <xf numFmtId="0" fontId="20" fillId="34"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9">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2" formatCode="0.00"/>
    </dxf>
    <dxf>
      <numFmt numFmtId="169"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Visualization.xlsx]Pivot Table!PivotTable1</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ES"/>
              <a:t>Avg Income Per Purchase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E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Table'!$A$3:$A$5</c:f>
              <c:strCache>
                <c:ptCount val="2"/>
                <c:pt idx="0">
                  <c:v>Female</c:v>
                </c:pt>
                <c:pt idx="1">
                  <c:v>Male</c:v>
                </c:pt>
              </c:strCache>
            </c:strRef>
          </c:cat>
          <c:val>
            <c:numRef>
              <c:f>'Pivot Table'!$B$3:$B$5</c:f>
              <c:numCache>
                <c:formatCode>_-* #,##0_-;\-* #,##0_-;_-* "-"??_-;_-@_-</c:formatCode>
                <c:ptCount val="2"/>
                <c:pt idx="0">
                  <c:v>40481.927710843374</c:v>
                </c:pt>
                <c:pt idx="1">
                  <c:v>38260.869565217392</c:v>
                </c:pt>
              </c:numCache>
            </c:numRef>
          </c:val>
          <c:extLst>
            <c:ext xmlns:c16="http://schemas.microsoft.com/office/drawing/2014/chart" uri="{C3380CC4-5D6E-409C-BE32-E72D297353CC}">
              <c16:uniqueId val="{00000000-EEC1-48D0-BB6F-F70C9567589C}"/>
            </c:ext>
          </c:extLst>
        </c:ser>
        <c:ser>
          <c:idx val="1"/>
          <c:order val="1"/>
          <c:tx>
            <c:strRef>
              <c:f>'Pivot Table'!$C$1:$C$2</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Table'!$A$3:$A$5</c:f>
              <c:strCache>
                <c:ptCount val="2"/>
                <c:pt idx="0">
                  <c:v>Female</c:v>
                </c:pt>
                <c:pt idx="1">
                  <c:v>Male</c:v>
                </c:pt>
              </c:strCache>
            </c:strRef>
          </c:cat>
          <c:val>
            <c:numRef>
              <c:f>'Pivot Table'!$C$3:$C$5</c:f>
              <c:numCache>
                <c:formatCode>_-* #,##0_-;\-* #,##0_-;_-* "-"??_-;_-@_-</c:formatCode>
                <c:ptCount val="2"/>
                <c:pt idx="0">
                  <c:v>39135.8024691358</c:v>
                </c:pt>
                <c:pt idx="1">
                  <c:v>46268.656716417907</c:v>
                </c:pt>
              </c:numCache>
            </c:numRef>
          </c:val>
          <c:extLst>
            <c:ext xmlns:c16="http://schemas.microsoft.com/office/drawing/2014/chart" uri="{C3380CC4-5D6E-409C-BE32-E72D297353CC}">
              <c16:uniqueId val="{00000001-EEC1-48D0-BB6F-F70C9567589C}"/>
            </c:ext>
          </c:extLst>
        </c:ser>
        <c:dLbls>
          <c:showLegendKey val="0"/>
          <c:showVal val="0"/>
          <c:showCatName val="0"/>
          <c:showSerName val="0"/>
          <c:showPercent val="0"/>
          <c:showBubbleSize val="0"/>
        </c:dLbls>
        <c:gapWidth val="315"/>
        <c:overlap val="-40"/>
        <c:axId val="80554000"/>
        <c:axId val="80547760"/>
      </c:barChart>
      <c:catAx>
        <c:axId val="805540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s-E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80547760"/>
        <c:crosses val="autoZero"/>
        <c:auto val="1"/>
        <c:lblAlgn val="ctr"/>
        <c:lblOffset val="100"/>
        <c:noMultiLvlLbl val="0"/>
      </c:catAx>
      <c:valAx>
        <c:axId val="805477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s-E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s-E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80554000"/>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s-E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Visualization.xlsx]Pivot Table!PivotTable2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ES"/>
              <a:t>Customer Commute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E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Table'!$B$7:$B$8</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Table'!$A$9:$A$14</c:f>
              <c:strCache>
                <c:ptCount val="5"/>
                <c:pt idx="0">
                  <c:v>0-1 Miles</c:v>
                </c:pt>
                <c:pt idx="1">
                  <c:v>10+ Miles</c:v>
                </c:pt>
                <c:pt idx="2">
                  <c:v>1-2 Miles</c:v>
                </c:pt>
                <c:pt idx="3">
                  <c:v>2-5 Miles</c:v>
                </c:pt>
                <c:pt idx="4">
                  <c:v>5-10 Miles</c:v>
                </c:pt>
              </c:strCache>
            </c:strRef>
          </c:cat>
          <c:val>
            <c:numRef>
              <c:f>'Pivot Table'!$B$9:$B$14</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575A-4A27-A9B8-E23DA79D514C}"/>
            </c:ext>
          </c:extLst>
        </c:ser>
        <c:ser>
          <c:idx val="1"/>
          <c:order val="1"/>
          <c:tx>
            <c:strRef>
              <c:f>'Pivot Table'!$C$7:$C$8</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Table'!$A$9:$A$14</c:f>
              <c:strCache>
                <c:ptCount val="5"/>
                <c:pt idx="0">
                  <c:v>0-1 Miles</c:v>
                </c:pt>
                <c:pt idx="1">
                  <c:v>10+ Miles</c:v>
                </c:pt>
                <c:pt idx="2">
                  <c:v>1-2 Miles</c:v>
                </c:pt>
                <c:pt idx="3">
                  <c:v>2-5 Miles</c:v>
                </c:pt>
                <c:pt idx="4">
                  <c:v>5-10 Miles</c:v>
                </c:pt>
              </c:strCache>
            </c:strRef>
          </c:cat>
          <c:val>
            <c:numRef>
              <c:f>'Pivot Table'!$C$9:$C$14</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575A-4A27-A9B8-E23DA79D514C}"/>
            </c:ext>
          </c:extLst>
        </c:ser>
        <c:dLbls>
          <c:showLegendKey val="0"/>
          <c:showVal val="0"/>
          <c:showCatName val="0"/>
          <c:showSerName val="0"/>
          <c:showPercent val="0"/>
          <c:showBubbleSize val="0"/>
        </c:dLbls>
        <c:marker val="1"/>
        <c:smooth val="0"/>
        <c:axId val="80524720"/>
        <c:axId val="80519440"/>
      </c:lineChart>
      <c:catAx>
        <c:axId val="805247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s-E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80519440"/>
        <c:crosses val="autoZero"/>
        <c:auto val="1"/>
        <c:lblAlgn val="ctr"/>
        <c:lblOffset val="100"/>
        <c:noMultiLvlLbl val="0"/>
      </c:catAx>
      <c:valAx>
        <c:axId val="805194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8052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Visualization.xlsx]Pivot Table!PivotTable3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ES"/>
              <a:t>Customer Age Brackets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E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Table'!$A$18:$A$21</c:f>
              <c:strCache>
                <c:ptCount val="3"/>
                <c:pt idx="0">
                  <c:v>Adolescent</c:v>
                </c:pt>
                <c:pt idx="1">
                  <c:v>Middle Age</c:v>
                </c:pt>
                <c:pt idx="2">
                  <c:v>Old</c:v>
                </c:pt>
              </c:strCache>
            </c:strRef>
          </c:cat>
          <c:val>
            <c:numRef>
              <c:f>'Pivot Table'!$B$18:$B$21</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9653-4013-AD79-EA39277669D3}"/>
            </c:ext>
          </c:extLst>
        </c:ser>
        <c:ser>
          <c:idx val="1"/>
          <c:order val="1"/>
          <c:tx>
            <c:strRef>
              <c:f>'Pivot Table'!$C$16:$C$17</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Table'!$A$18:$A$21</c:f>
              <c:strCache>
                <c:ptCount val="3"/>
                <c:pt idx="0">
                  <c:v>Adolescent</c:v>
                </c:pt>
                <c:pt idx="1">
                  <c:v>Middle Age</c:v>
                </c:pt>
                <c:pt idx="2">
                  <c:v>Old</c:v>
                </c:pt>
              </c:strCache>
            </c:strRef>
          </c:cat>
          <c:val>
            <c:numRef>
              <c:f>'Pivot Table'!$C$18:$C$21</c:f>
              <c:numCache>
                <c:formatCode>0.00</c:formatCode>
                <c:ptCount val="3"/>
                <c:pt idx="0">
                  <c:v>39</c:v>
                </c:pt>
                <c:pt idx="1">
                  <c:v>388</c:v>
                </c:pt>
                <c:pt idx="2">
                  <c:v>54</c:v>
                </c:pt>
              </c:numCache>
            </c:numRef>
          </c:val>
          <c:smooth val="0"/>
          <c:extLst>
            <c:ext xmlns:c16="http://schemas.microsoft.com/office/drawing/2014/chart" uri="{C3380CC4-5D6E-409C-BE32-E72D297353CC}">
              <c16:uniqueId val="{00000001-9653-4013-AD79-EA39277669D3}"/>
            </c:ext>
          </c:extLst>
        </c:ser>
        <c:dLbls>
          <c:showLegendKey val="0"/>
          <c:showVal val="0"/>
          <c:showCatName val="0"/>
          <c:showSerName val="0"/>
          <c:showPercent val="0"/>
          <c:showBubbleSize val="0"/>
        </c:dLbls>
        <c:marker val="1"/>
        <c:smooth val="0"/>
        <c:axId val="80537680"/>
        <c:axId val="80536240"/>
      </c:lineChart>
      <c:catAx>
        <c:axId val="805376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s-ES"/>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80536240"/>
        <c:crosses val="autoZero"/>
        <c:auto val="1"/>
        <c:lblAlgn val="ctr"/>
        <c:lblOffset val="100"/>
        <c:noMultiLvlLbl val="0"/>
      </c:catAx>
      <c:valAx>
        <c:axId val="805362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8053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Visualization.xlsx]Pivot Table!PivotTable4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Table'!$G$1:$G$2</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Table'!$F$3:$F$56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Table'!$G$3:$G$56</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62D6-40F4-A8DB-3C9B0DEE39D2}"/>
            </c:ext>
          </c:extLst>
        </c:ser>
        <c:ser>
          <c:idx val="1"/>
          <c:order val="1"/>
          <c:tx>
            <c:strRef>
              <c:f>'Pivot Table'!$H$1:$H$2</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Table'!$F$3:$F$56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Table'!$H$3:$H$56</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62D6-40F4-A8DB-3C9B0DEE39D2}"/>
            </c:ext>
          </c:extLst>
        </c:ser>
        <c:dLbls>
          <c:showLegendKey val="0"/>
          <c:showVal val="0"/>
          <c:showCatName val="0"/>
          <c:showSerName val="0"/>
          <c:showPercent val="0"/>
          <c:showBubbleSize val="0"/>
        </c:dLbls>
        <c:marker val="1"/>
        <c:smooth val="0"/>
        <c:axId val="1273334512"/>
        <c:axId val="1273342192"/>
      </c:lineChart>
      <c:catAx>
        <c:axId val="12733345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1273342192"/>
        <c:crosses val="autoZero"/>
        <c:auto val="1"/>
        <c:lblAlgn val="ctr"/>
        <c:lblOffset val="100"/>
        <c:noMultiLvlLbl val="0"/>
      </c:catAx>
      <c:valAx>
        <c:axId val="12733421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127333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5</xdr:row>
      <xdr:rowOff>124567</xdr:rowOff>
    </xdr:from>
    <xdr:to>
      <xdr:col>10</xdr:col>
      <xdr:colOff>526677</xdr:colOff>
      <xdr:row>20</xdr:row>
      <xdr:rowOff>123264</xdr:rowOff>
    </xdr:to>
    <xdr:graphicFrame macro="">
      <xdr:nvGraphicFramePr>
        <xdr:cNvPr id="2" name="Chart 1">
          <a:extLst>
            <a:ext uri="{FF2B5EF4-FFF2-40B4-BE49-F238E27FC236}">
              <a16:creationId xmlns:a16="http://schemas.microsoft.com/office/drawing/2014/main" id="{655439A2-0724-40B0-AD8D-DF1CB4633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20</xdr:row>
      <xdr:rowOff>168088</xdr:rowOff>
    </xdr:from>
    <xdr:to>
      <xdr:col>16</xdr:col>
      <xdr:colOff>0</xdr:colOff>
      <xdr:row>36</xdr:row>
      <xdr:rowOff>33617</xdr:rowOff>
    </xdr:to>
    <xdr:graphicFrame macro="">
      <xdr:nvGraphicFramePr>
        <xdr:cNvPr id="3" name="Chart 2">
          <a:extLst>
            <a:ext uri="{FF2B5EF4-FFF2-40B4-BE49-F238E27FC236}">
              <a16:creationId xmlns:a16="http://schemas.microsoft.com/office/drawing/2014/main" id="{642FA3C5-D62D-485B-B123-F8CE7DE77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548893</xdr:colOff>
      <xdr:row>5</xdr:row>
      <xdr:rowOff>124057</xdr:rowOff>
    </xdr:from>
    <xdr:to>
      <xdr:col>16</xdr:col>
      <xdr:colOff>0</xdr:colOff>
      <xdr:row>20</xdr:row>
      <xdr:rowOff>134471</xdr:rowOff>
    </xdr:to>
    <xdr:graphicFrame macro="">
      <xdr:nvGraphicFramePr>
        <xdr:cNvPr id="4" name="Chart 3">
          <a:extLst>
            <a:ext uri="{FF2B5EF4-FFF2-40B4-BE49-F238E27FC236}">
              <a16:creationId xmlns:a16="http://schemas.microsoft.com/office/drawing/2014/main" id="{7D715CC7-CF83-434D-B3FD-3A613DD31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xdr:colOff>
      <xdr:row>36</xdr:row>
      <xdr:rowOff>56030</xdr:rowOff>
    </xdr:from>
    <xdr:to>
      <xdr:col>15</xdr:col>
      <xdr:colOff>605116</xdr:colOff>
      <xdr:row>57</xdr:row>
      <xdr:rowOff>134471</xdr:rowOff>
    </xdr:to>
    <xdr:graphicFrame macro="">
      <xdr:nvGraphicFramePr>
        <xdr:cNvPr id="5" name="Chart 4">
          <a:extLst>
            <a:ext uri="{FF2B5EF4-FFF2-40B4-BE49-F238E27FC236}">
              <a16:creationId xmlns:a16="http://schemas.microsoft.com/office/drawing/2014/main" id="{378A9693-01B4-42C7-8CC5-5B9C8886D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47625</xdr:colOff>
      <xdr:row>5</xdr:row>
      <xdr:rowOff>163606</xdr:rowOff>
    </xdr:from>
    <xdr:to>
      <xdr:col>3</xdr:col>
      <xdr:colOff>571499</xdr:colOff>
      <xdr:row>10</xdr:row>
      <xdr:rowOff>123265</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CA0017BE-09D5-2E39-0E2A-E54AF7D9CCA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7625" y="1375879"/>
              <a:ext cx="2342283" cy="912159"/>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17</xdr:row>
      <xdr:rowOff>115982</xdr:rowOff>
    </xdr:from>
    <xdr:to>
      <xdr:col>3</xdr:col>
      <xdr:colOff>565547</xdr:colOff>
      <xdr:row>26</xdr:row>
      <xdr:rowOff>156884</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111450FF-AFDF-B7CA-01FC-75CB1BE8BC7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7625" y="3614255"/>
              <a:ext cx="2336331" cy="1755402"/>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11</xdr:row>
      <xdr:rowOff>9527</xdr:rowOff>
    </xdr:from>
    <xdr:to>
      <xdr:col>3</xdr:col>
      <xdr:colOff>571499</xdr:colOff>
      <xdr:row>17</xdr:row>
      <xdr:rowOff>44825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7592CF7-64A4-6A62-2B85-2FE4EB777F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625" y="2364800"/>
              <a:ext cx="2342283" cy="1178298"/>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fonsoEsteban MeseguerGarcia" refreshedDate="46171.727629166664" createdVersion="8" refreshedVersion="8" minRefreshableVersion="3" recordCount="1000" xr:uid="{33B05F7A-8224-4994-A52D-60E4A2466AE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2">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452732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4FE79C-8240-4E6C-9F45-2C8815742FDB}"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I56" firstHeaderRow="1" firstDataRow="2" firstDataCol="1"/>
  <pivotFields count="14">
    <pivotField showAll="0"/>
    <pivotField showAll="0"/>
    <pivotField showAll="0"/>
    <pivotField numFmtId="2"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ACEC36-FA46-492B-8DA7-89A6C61C51DB}"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D21" firstHeaderRow="1" firstDataRow="2" firstDataCol="1"/>
  <pivotFields count="14">
    <pivotField showAll="0"/>
    <pivotField showAll="0"/>
    <pivotField showAll="0"/>
    <pivotField numFmtId="2"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1">
    <format dxfId="47">
      <pivotArea outline="0" collapsedLevelsAreSubtotals="1" fieldPosition="0">
        <references count="1">
          <reference field="13" count="1" selected="0">
            <x v="1"/>
          </reference>
        </references>
      </pivotArea>
    </format>
  </formats>
  <chartFormats count="2">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255B56-ED02-4C37-B637-09622CC12006}"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D14" firstHeaderRow="1" firstDataRow="2" firstDataCol="1"/>
  <pivotFields count="14">
    <pivotField showAll="0"/>
    <pivotField showAll="0"/>
    <pivotField showAll="0"/>
    <pivotField numFmtId="2" showAll="0"/>
    <pivotField showAll="0"/>
    <pivotField showAll="0"/>
    <pivotField showAll="0"/>
    <pivotField showAll="0"/>
    <pivotField showAll="0"/>
    <pivotField axis="axisRow" showAll="0">
      <items count="6">
        <item x="0"/>
        <item x="4"/>
        <item x="3"/>
        <item x="1"/>
        <item x="2"/>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2">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148A2B-C004-4AD6-8E94-AF827B6646BD}"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2"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3">
    <format dxfId="48">
      <pivotArea outline="0" collapsedLevelsAreSubtotals="1" fieldPosition="0"/>
    </format>
    <format dxfId="46">
      <pivotArea outline="0" collapsedLevelsAreSubtotals="1" fieldPosition="0">
        <references count="1">
          <reference field="13" count="1" selected="0">
            <x v="1"/>
          </reference>
        </references>
      </pivotArea>
    </format>
    <format dxfId="45">
      <pivotArea grandRow="1" grandCol="1" outline="0" collapsedLevelsAreSubtotals="1" fieldPosition="0"/>
    </format>
  </formats>
  <chartFormats count="2">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4A62FA3-CA0C-4C72-BA7C-234D3A4737CF}" sourceName="Marital Status">
  <pivotTables>
    <pivotTable tabId="3" name="PivotTable1"/>
  </pivotTables>
  <data>
    <tabular pivotCacheId="54527329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F1EE4A6-3865-4F24-9BC6-658D1D2A9505}" sourceName="Education">
  <pivotTables>
    <pivotTable tabId="3" name="PivotTable1"/>
  </pivotTables>
  <data>
    <tabular pivotCacheId="54527329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F8D653-8C6F-47FA-9D2B-C3EC31822BF9}" sourceName="Region">
  <pivotTables>
    <pivotTable tabId="3" name="PivotTable1"/>
  </pivotTables>
  <data>
    <tabular pivotCacheId="545273299">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7B47651-1D0D-4A70-9B3C-A236E8A72292}" cache="Slicer_Marital_Status" caption="Marital Status" style="SlicerStyleDark1" rowHeight="241300"/>
  <slicer name="Education" xr10:uid="{C0CD88ED-087F-4CE1-9406-E8EC5F5868DF}" cache="Slicer_Education" caption="Education" style="SlicerStyleDark1" rowHeight="241300"/>
  <slicer name="Region" xr10:uid="{23812568-984B-497A-A7A2-3CA933F2E4F7}" cache="Slicer_Region" caption="Region"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27" sqref="E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5A2CD-1B9A-49B9-8AF8-1FF3BA189B74}">
  <dimension ref="A1:N1001"/>
  <sheetViews>
    <sheetView workbookViewId="0">
      <selection activeCell="M2" sqref="M2"/>
    </sheetView>
  </sheetViews>
  <sheetFormatPr defaultColWidth="11.85546875" defaultRowHeight="15" x14ac:dyDescent="0.25"/>
  <cols>
    <col min="2" max="2" width="24.28515625" customWidth="1"/>
    <col min="4" max="4" width="11.85546875" style="3"/>
    <col min="13" max="13" width="22.7109375"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IF(L2&gt;55, "Old",IF(L2&gt;=31, "Middle Age", 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IF(L3&gt;55, "Old",IF(L3&gt;=31, "Middle Age", 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ref="M4:M66" si="0">IF(L4&gt;55, "Old",IF(L4&gt;=31, "Middle Age", IF(L4&lt;31,"Adolescent","Invalid")))</f>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30</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30</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30</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30</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30</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IF(L67&gt;55, "Old",IF(L67&gt;=31, "Middle Age", 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30</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30</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25">
      <c r="A97">
        <v>17197</v>
      </c>
      <c r="B97" t="s">
        <v>37</v>
      </c>
      <c r="C97" t="s">
        <v>39</v>
      </c>
      <c r="D97" s="3">
        <v>90000</v>
      </c>
      <c r="E97">
        <v>5</v>
      </c>
      <c r="F97" t="s">
        <v>19</v>
      </c>
      <c r="G97" t="s">
        <v>21</v>
      </c>
      <c r="H97" t="s">
        <v>15</v>
      </c>
      <c r="I97">
        <v>2</v>
      </c>
      <c r="J97" t="s">
        <v>30</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30</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IF(L131&gt;55, "Old",IF(L131&gt;=31, "Middle Age", 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30</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30</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30</v>
      </c>
      <c r="K180" t="s">
        <v>17</v>
      </c>
      <c r="L180">
        <v>55</v>
      </c>
      <c r="M180" t="str">
        <f t="shared" si="2"/>
        <v>Middle Age</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30</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30</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30</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30</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30</v>
      </c>
      <c r="K195" t="s">
        <v>24</v>
      </c>
      <c r="L195">
        <v>41</v>
      </c>
      <c r="M195" t="str">
        <f t="shared" ref="M195:M258" si="3">IF(L195&gt;55, "Old",IF(L195&gt;=31, "Middle Age", 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30</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30</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30</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30</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30</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30</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30</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30</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30</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30</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IF(L259&gt;55, "Old",IF(L259&gt;=31, "Middle Age", IF(L259&lt;31,"Adolescent","Invalid")))</f>
        <v>Middle Age</v>
      </c>
      <c r="N259" t="s">
        <v>15</v>
      </c>
    </row>
    <row r="260" spans="1:14" x14ac:dyDescent="0.25">
      <c r="A260">
        <v>14193</v>
      </c>
      <c r="B260" t="s">
        <v>37</v>
      </c>
      <c r="C260" t="s">
        <v>39</v>
      </c>
      <c r="D260" s="3">
        <v>100000</v>
      </c>
      <c r="E260">
        <v>3</v>
      </c>
      <c r="F260" t="s">
        <v>19</v>
      </c>
      <c r="G260" t="s">
        <v>28</v>
      </c>
      <c r="H260" t="s">
        <v>15</v>
      </c>
      <c r="I260">
        <v>4</v>
      </c>
      <c r="J260" t="s">
        <v>30</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30</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30</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30</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30</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IF(L323&gt;55, "Old",IF(L323&gt;=31, "Middle Age", 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30</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30</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30</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30</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30</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30</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30</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IF(L387&gt;55, "Old",IF(L387&gt;=31, "Middle Age", IF(L387&lt;31,"Adolescent","Invalid")))</f>
        <v>Middle Age</v>
      </c>
      <c r="N387" t="s">
        <v>18</v>
      </c>
    </row>
    <row r="388" spans="1:14" x14ac:dyDescent="0.25">
      <c r="A388">
        <v>28957</v>
      </c>
      <c r="B388" t="s">
        <v>37</v>
      </c>
      <c r="C388" t="s">
        <v>39</v>
      </c>
      <c r="D388" s="3">
        <v>120000</v>
      </c>
      <c r="E388">
        <v>0</v>
      </c>
      <c r="F388" t="s">
        <v>29</v>
      </c>
      <c r="G388" t="s">
        <v>21</v>
      </c>
      <c r="H388" t="s">
        <v>15</v>
      </c>
      <c r="I388">
        <v>4</v>
      </c>
      <c r="J388" t="s">
        <v>30</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30</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30</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30</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30</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30</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30</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IF(L451&gt;55, "Old",IF(L451&gt;=31, "Middle Age", 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30</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30</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30</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30</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30</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30</v>
      </c>
      <c r="K515" t="s">
        <v>32</v>
      </c>
      <c r="L515">
        <v>61</v>
      </c>
      <c r="M515" t="str">
        <f t="shared" ref="M515:M578" si="8">IF(L515&gt;55, "Old",IF(L515&gt;=31, "Middle Age", 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30</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30</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30</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30</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30</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30</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30</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30</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30</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30</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30</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IF(L579&gt;55, "Old",IF(L579&gt;=31, "Middle Age", 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30</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30</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30</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30</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30</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30</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30</v>
      </c>
      <c r="K643" t="s">
        <v>32</v>
      </c>
      <c r="L643">
        <v>64</v>
      </c>
      <c r="M643" t="str">
        <f t="shared" ref="M643:M706" si="10">IF(L643&gt;55, "Old",IF(L643&gt;=31, "Middle Age", 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30</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30</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30</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30</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30</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30</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30</v>
      </c>
      <c r="K707" t="s">
        <v>32</v>
      </c>
      <c r="L707">
        <v>59</v>
      </c>
      <c r="M707" t="str">
        <f t="shared" ref="M707:M770" si="11">IF(L707&gt;55, "Old",IF(L707&gt;=31, "Middle Age", 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30</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30</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30</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30</v>
      </c>
      <c r="K741" t="s">
        <v>32</v>
      </c>
      <c r="L741">
        <v>55</v>
      </c>
      <c r="M741" t="str">
        <f t="shared" si="11"/>
        <v>Middle Age</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30</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30</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30</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30</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IF(L771&gt;55, "Old",IF(L771&gt;=31, "Middle Age", 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30</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30</v>
      </c>
      <c r="K782" t="s">
        <v>32</v>
      </c>
      <c r="L782">
        <v>55</v>
      </c>
      <c r="M782" t="str">
        <f t="shared" si="12"/>
        <v>Middle Age</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30</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30</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IF(L835&gt;55, "Old",IF(L835&gt;=31, "Middle Age", 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30</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30</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30</v>
      </c>
      <c r="K868" t="s">
        <v>32</v>
      </c>
      <c r="L868">
        <v>55</v>
      </c>
      <c r="M868" t="str">
        <f t="shared" si="13"/>
        <v>Middle Age</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30</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30</v>
      </c>
      <c r="K873" t="s">
        <v>32</v>
      </c>
      <c r="L873">
        <v>55</v>
      </c>
      <c r="M873" t="str">
        <f t="shared" si="13"/>
        <v>Middle Age</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IF(L899&gt;55, "Old",IF(L899&gt;=31, "Middle Age", IF(L899&lt;31,"Adolescent","Invalid")))</f>
        <v>Adolescent</v>
      </c>
      <c r="N899" t="s">
        <v>18</v>
      </c>
    </row>
    <row r="900" spans="1:14" x14ac:dyDescent="0.25">
      <c r="A900">
        <v>18066</v>
      </c>
      <c r="B900" t="s">
        <v>37</v>
      </c>
      <c r="C900" t="s">
        <v>38</v>
      </c>
      <c r="D900" s="3">
        <v>70000</v>
      </c>
      <c r="E900">
        <v>5</v>
      </c>
      <c r="F900" t="s">
        <v>13</v>
      </c>
      <c r="G900" t="s">
        <v>28</v>
      </c>
      <c r="H900" t="s">
        <v>15</v>
      </c>
      <c r="I900">
        <v>3</v>
      </c>
      <c r="J900" t="s">
        <v>30</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30</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30</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30</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30</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30</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30</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30</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IF(L963&gt;55, "Old",IF(L963&gt;=31, "Middle Age", IF(L963&lt;31,"Adolescent","Invalid")))</f>
        <v>Old</v>
      </c>
      <c r="N963" t="s">
        <v>18</v>
      </c>
    </row>
    <row r="964" spans="1:14" x14ac:dyDescent="0.25">
      <c r="A964">
        <v>16813</v>
      </c>
      <c r="B964" t="s">
        <v>36</v>
      </c>
      <c r="C964" t="s">
        <v>38</v>
      </c>
      <c r="D964" s="3">
        <v>60000</v>
      </c>
      <c r="E964">
        <v>2</v>
      </c>
      <c r="F964" t="s">
        <v>19</v>
      </c>
      <c r="G964" t="s">
        <v>21</v>
      </c>
      <c r="H964" t="s">
        <v>15</v>
      </c>
      <c r="I964">
        <v>2</v>
      </c>
      <c r="J964" t="s">
        <v>30</v>
      </c>
      <c r="K964" t="s">
        <v>32</v>
      </c>
      <c r="L964">
        <v>55</v>
      </c>
      <c r="M964" t="str">
        <f t="shared" si="15"/>
        <v>Middle Age</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30</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30</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30</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30</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30</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30</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30</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30</v>
      </c>
      <c r="K1001" t="s">
        <v>32</v>
      </c>
      <c r="L1001">
        <v>53</v>
      </c>
      <c r="M1001" t="str">
        <f t="shared" si="15"/>
        <v>Middle Age</v>
      </c>
      <c r="N1001" t="s">
        <v>15</v>
      </c>
    </row>
  </sheetData>
  <autoFilter ref="A1:N1001" xr:uid="{2D05A2CD-1B9A-49B9-8AF8-1FF3BA189B7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AFA6B-9E12-4987-B421-4472C6642752}">
  <dimension ref="A1:I56"/>
  <sheetViews>
    <sheetView zoomScale="70" zoomScaleNormal="70" workbookViewId="0">
      <selection activeCell="C10" sqref="C10"/>
    </sheetView>
  </sheetViews>
  <sheetFormatPr defaultRowHeight="15" x14ac:dyDescent="0.25"/>
  <cols>
    <col min="1" max="1" width="23.140625" bestFit="1" customWidth="1"/>
    <col min="2" max="2" width="21.7109375" bestFit="1" customWidth="1"/>
    <col min="3" max="3" width="12.140625" bestFit="1" customWidth="1"/>
    <col min="4" max="4" width="15" bestFit="1" customWidth="1"/>
  </cols>
  <sheetData>
    <row r="1" spans="1:9" x14ac:dyDescent="0.25">
      <c r="A1" s="4" t="s">
        <v>43</v>
      </c>
      <c r="B1" s="4" t="s">
        <v>44</v>
      </c>
      <c r="F1" s="4" t="s">
        <v>45</v>
      </c>
      <c r="G1" s="4" t="s">
        <v>44</v>
      </c>
    </row>
    <row r="2" spans="1:9" x14ac:dyDescent="0.25">
      <c r="A2" s="4" t="s">
        <v>41</v>
      </c>
      <c r="B2" t="s">
        <v>18</v>
      </c>
      <c r="C2" t="s">
        <v>15</v>
      </c>
      <c r="D2" t="s">
        <v>42</v>
      </c>
      <c r="F2" s="4" t="s">
        <v>41</v>
      </c>
      <c r="G2" t="s">
        <v>18</v>
      </c>
      <c r="H2" t="s">
        <v>15</v>
      </c>
      <c r="I2" t="s">
        <v>42</v>
      </c>
    </row>
    <row r="3" spans="1:9" x14ac:dyDescent="0.25">
      <c r="A3" s="5" t="s">
        <v>39</v>
      </c>
      <c r="B3" s="8">
        <v>40481.927710843374</v>
      </c>
      <c r="C3" s="8">
        <v>39135.8024691358</v>
      </c>
      <c r="D3" s="8">
        <v>39817.07317073171</v>
      </c>
      <c r="F3" s="5">
        <v>25</v>
      </c>
      <c r="G3" s="7">
        <v>2</v>
      </c>
      <c r="H3" s="7">
        <v>4</v>
      </c>
      <c r="I3" s="7">
        <v>6</v>
      </c>
    </row>
    <row r="4" spans="1:9" x14ac:dyDescent="0.25">
      <c r="A4" s="5" t="s">
        <v>38</v>
      </c>
      <c r="B4" s="8">
        <v>38260.869565217392</v>
      </c>
      <c r="C4" s="8">
        <v>46268.656716417907</v>
      </c>
      <c r="D4" s="8">
        <v>42205.882352941175</v>
      </c>
      <c r="F4" s="5">
        <v>26</v>
      </c>
      <c r="G4" s="7">
        <v>8</v>
      </c>
      <c r="H4" s="7">
        <v>8</v>
      </c>
      <c r="I4" s="7">
        <v>16</v>
      </c>
    </row>
    <row r="5" spans="1:9" x14ac:dyDescent="0.25">
      <c r="A5" s="5" t="s">
        <v>42</v>
      </c>
      <c r="B5" s="8">
        <v>39473.684210526313</v>
      </c>
      <c r="C5" s="8">
        <v>42364.864864864867</v>
      </c>
      <c r="D5" s="8">
        <v>40900</v>
      </c>
      <c r="F5" s="5">
        <v>27</v>
      </c>
      <c r="G5" s="7">
        <v>15</v>
      </c>
      <c r="H5" s="7">
        <v>8</v>
      </c>
      <c r="I5" s="7">
        <v>23</v>
      </c>
    </row>
    <row r="6" spans="1:9" x14ac:dyDescent="0.25">
      <c r="B6" s="6"/>
      <c r="C6" s="6"/>
      <c r="D6" s="6"/>
      <c r="F6" s="5">
        <v>28</v>
      </c>
      <c r="G6" s="7">
        <v>12</v>
      </c>
      <c r="H6" s="7">
        <v>10</v>
      </c>
      <c r="I6" s="7">
        <v>22</v>
      </c>
    </row>
    <row r="7" spans="1:9" x14ac:dyDescent="0.25">
      <c r="A7" s="4" t="s">
        <v>45</v>
      </c>
      <c r="B7" s="4" t="s">
        <v>44</v>
      </c>
      <c r="F7" s="5">
        <v>29</v>
      </c>
      <c r="G7" s="7">
        <v>11</v>
      </c>
      <c r="H7" s="7">
        <v>5</v>
      </c>
      <c r="I7" s="7">
        <v>16</v>
      </c>
    </row>
    <row r="8" spans="1:9" x14ac:dyDescent="0.25">
      <c r="A8" s="4" t="s">
        <v>41</v>
      </c>
      <c r="B8" t="s">
        <v>18</v>
      </c>
      <c r="C8" t="s">
        <v>15</v>
      </c>
      <c r="D8" t="s">
        <v>42</v>
      </c>
      <c r="F8" s="5">
        <v>30</v>
      </c>
      <c r="G8" s="7">
        <v>23</v>
      </c>
      <c r="H8" s="7">
        <v>4</v>
      </c>
      <c r="I8" s="7">
        <v>27</v>
      </c>
    </row>
    <row r="9" spans="1:9" x14ac:dyDescent="0.25">
      <c r="A9" s="5" t="s">
        <v>16</v>
      </c>
      <c r="B9" s="7">
        <v>166</v>
      </c>
      <c r="C9" s="7">
        <v>200</v>
      </c>
      <c r="D9" s="7">
        <v>366</v>
      </c>
      <c r="F9" s="5">
        <v>31</v>
      </c>
      <c r="G9" s="7">
        <v>17</v>
      </c>
      <c r="H9" s="7">
        <v>8</v>
      </c>
      <c r="I9" s="7">
        <v>25</v>
      </c>
    </row>
    <row r="10" spans="1:9" x14ac:dyDescent="0.25">
      <c r="A10" s="5" t="s">
        <v>30</v>
      </c>
      <c r="B10" s="7">
        <v>78</v>
      </c>
      <c r="C10" s="7">
        <v>33</v>
      </c>
      <c r="D10" s="7">
        <v>111</v>
      </c>
      <c r="F10" s="5">
        <v>32</v>
      </c>
      <c r="G10" s="7">
        <v>19</v>
      </c>
      <c r="H10" s="7">
        <v>14</v>
      </c>
      <c r="I10" s="7">
        <v>33</v>
      </c>
    </row>
    <row r="11" spans="1:9" x14ac:dyDescent="0.25">
      <c r="A11" s="5" t="s">
        <v>26</v>
      </c>
      <c r="B11" s="7">
        <v>92</v>
      </c>
      <c r="C11" s="7">
        <v>77</v>
      </c>
      <c r="D11" s="7">
        <v>169</v>
      </c>
      <c r="F11" s="5">
        <v>33</v>
      </c>
      <c r="G11" s="7">
        <v>8</v>
      </c>
      <c r="H11" s="7">
        <v>13</v>
      </c>
      <c r="I11" s="7">
        <v>21</v>
      </c>
    </row>
    <row r="12" spans="1:9" x14ac:dyDescent="0.25">
      <c r="A12" s="5" t="s">
        <v>22</v>
      </c>
      <c r="B12" s="7">
        <v>67</v>
      </c>
      <c r="C12" s="7">
        <v>95</v>
      </c>
      <c r="D12" s="7">
        <v>162</v>
      </c>
      <c r="F12" s="5">
        <v>34</v>
      </c>
      <c r="G12" s="7">
        <v>12</v>
      </c>
      <c r="H12" s="7">
        <v>19</v>
      </c>
      <c r="I12" s="7">
        <v>31</v>
      </c>
    </row>
    <row r="13" spans="1:9" x14ac:dyDescent="0.25">
      <c r="A13" s="5" t="s">
        <v>23</v>
      </c>
      <c r="B13" s="7">
        <v>116</v>
      </c>
      <c r="C13" s="7">
        <v>76</v>
      </c>
      <c r="D13" s="7">
        <v>192</v>
      </c>
      <c r="F13" s="5">
        <v>35</v>
      </c>
      <c r="G13" s="7">
        <v>14</v>
      </c>
      <c r="H13" s="7">
        <v>22</v>
      </c>
      <c r="I13" s="7">
        <v>36</v>
      </c>
    </row>
    <row r="14" spans="1:9" x14ac:dyDescent="0.25">
      <c r="A14" s="5" t="s">
        <v>42</v>
      </c>
      <c r="B14" s="7">
        <v>519</v>
      </c>
      <c r="C14" s="7">
        <v>481</v>
      </c>
      <c r="D14" s="7">
        <v>1000</v>
      </c>
      <c r="F14" s="5">
        <v>36</v>
      </c>
      <c r="G14" s="7">
        <v>7</v>
      </c>
      <c r="H14" s="7">
        <v>30</v>
      </c>
      <c r="I14" s="7">
        <v>37</v>
      </c>
    </row>
    <row r="15" spans="1:9" x14ac:dyDescent="0.25">
      <c r="F15" s="5">
        <v>37</v>
      </c>
      <c r="G15" s="7">
        <v>4</v>
      </c>
      <c r="H15" s="7">
        <v>28</v>
      </c>
      <c r="I15" s="7">
        <v>32</v>
      </c>
    </row>
    <row r="16" spans="1:9" x14ac:dyDescent="0.25">
      <c r="A16" s="4" t="s">
        <v>45</v>
      </c>
      <c r="B16" s="4" t="s">
        <v>44</v>
      </c>
      <c r="F16" s="5">
        <v>38</v>
      </c>
      <c r="G16" s="7">
        <v>8</v>
      </c>
      <c r="H16" s="7">
        <v>29</v>
      </c>
      <c r="I16" s="7">
        <v>37</v>
      </c>
    </row>
    <row r="17" spans="1:9" x14ac:dyDescent="0.25">
      <c r="A17" s="4" t="s">
        <v>41</v>
      </c>
      <c r="B17" t="s">
        <v>18</v>
      </c>
      <c r="C17" t="s">
        <v>15</v>
      </c>
      <c r="D17" t="s">
        <v>42</v>
      </c>
      <c r="F17" s="5">
        <v>39</v>
      </c>
      <c r="G17" s="7">
        <v>10</v>
      </c>
      <c r="H17" s="7">
        <v>12</v>
      </c>
      <c r="I17" s="7">
        <v>22</v>
      </c>
    </row>
    <row r="18" spans="1:9" x14ac:dyDescent="0.25">
      <c r="A18" s="5" t="s">
        <v>46</v>
      </c>
      <c r="B18" s="7">
        <v>71</v>
      </c>
      <c r="C18" s="3">
        <v>39</v>
      </c>
      <c r="D18" s="7">
        <v>110</v>
      </c>
      <c r="F18" s="5">
        <v>40</v>
      </c>
      <c r="G18" s="7">
        <v>24</v>
      </c>
      <c r="H18" s="7">
        <v>18</v>
      </c>
      <c r="I18" s="7">
        <v>42</v>
      </c>
    </row>
    <row r="19" spans="1:9" x14ac:dyDescent="0.25">
      <c r="A19" s="5" t="s">
        <v>47</v>
      </c>
      <c r="B19" s="7">
        <v>331</v>
      </c>
      <c r="C19" s="3">
        <v>388</v>
      </c>
      <c r="D19" s="7">
        <v>719</v>
      </c>
      <c r="F19" s="5">
        <v>41</v>
      </c>
      <c r="G19" s="7">
        <v>13</v>
      </c>
      <c r="H19" s="7">
        <v>15</v>
      </c>
      <c r="I19" s="7">
        <v>28</v>
      </c>
    </row>
    <row r="20" spans="1:9" x14ac:dyDescent="0.25">
      <c r="A20" s="5" t="s">
        <v>48</v>
      </c>
      <c r="B20" s="7">
        <v>117</v>
      </c>
      <c r="C20" s="3">
        <v>54</v>
      </c>
      <c r="D20" s="7">
        <v>171</v>
      </c>
      <c r="F20" s="5">
        <v>42</v>
      </c>
      <c r="G20" s="7">
        <v>22</v>
      </c>
      <c r="H20" s="7">
        <v>12</v>
      </c>
      <c r="I20" s="7">
        <v>34</v>
      </c>
    </row>
    <row r="21" spans="1:9" x14ac:dyDescent="0.25">
      <c r="A21" s="5" t="s">
        <v>42</v>
      </c>
      <c r="B21" s="7">
        <v>519</v>
      </c>
      <c r="C21" s="3">
        <v>481</v>
      </c>
      <c r="D21" s="7">
        <v>1000</v>
      </c>
      <c r="F21" s="5">
        <v>43</v>
      </c>
      <c r="G21" s="7">
        <v>17</v>
      </c>
      <c r="H21" s="7">
        <v>19</v>
      </c>
      <c r="I21" s="7">
        <v>36</v>
      </c>
    </row>
    <row r="22" spans="1:9" x14ac:dyDescent="0.25">
      <c r="F22" s="5">
        <v>44</v>
      </c>
      <c r="G22" s="7">
        <v>15</v>
      </c>
      <c r="H22" s="7">
        <v>12</v>
      </c>
      <c r="I22" s="7">
        <v>27</v>
      </c>
    </row>
    <row r="23" spans="1:9" x14ac:dyDescent="0.25">
      <c r="F23" s="5">
        <v>45</v>
      </c>
      <c r="G23" s="7">
        <v>18</v>
      </c>
      <c r="H23" s="7">
        <v>13</v>
      </c>
      <c r="I23" s="7">
        <v>31</v>
      </c>
    </row>
    <row r="24" spans="1:9" x14ac:dyDescent="0.25">
      <c r="F24" s="5">
        <v>46</v>
      </c>
      <c r="G24" s="7">
        <v>12</v>
      </c>
      <c r="H24" s="7">
        <v>15</v>
      </c>
      <c r="I24" s="7">
        <v>27</v>
      </c>
    </row>
    <row r="25" spans="1:9" x14ac:dyDescent="0.25">
      <c r="F25" s="5">
        <v>47</v>
      </c>
      <c r="G25" s="7">
        <v>19</v>
      </c>
      <c r="H25" s="7">
        <v>20</v>
      </c>
      <c r="I25" s="7">
        <v>39</v>
      </c>
    </row>
    <row r="26" spans="1:9" x14ac:dyDescent="0.25">
      <c r="F26" s="5">
        <v>48</v>
      </c>
      <c r="G26" s="7">
        <v>16</v>
      </c>
      <c r="H26" s="7">
        <v>13</v>
      </c>
      <c r="I26" s="7">
        <v>29</v>
      </c>
    </row>
    <row r="27" spans="1:9" x14ac:dyDescent="0.25">
      <c r="F27" s="5">
        <v>49</v>
      </c>
      <c r="G27" s="7">
        <v>15</v>
      </c>
      <c r="H27" s="7">
        <v>8</v>
      </c>
      <c r="I27" s="7">
        <v>23</v>
      </c>
    </row>
    <row r="28" spans="1:9" x14ac:dyDescent="0.25">
      <c r="F28" s="5">
        <v>50</v>
      </c>
      <c r="G28" s="7">
        <v>12</v>
      </c>
      <c r="H28" s="7">
        <v>12</v>
      </c>
      <c r="I28" s="7">
        <v>24</v>
      </c>
    </row>
    <row r="29" spans="1:9" x14ac:dyDescent="0.25">
      <c r="F29" s="5">
        <v>51</v>
      </c>
      <c r="G29" s="7">
        <v>10</v>
      </c>
      <c r="H29" s="7">
        <v>12</v>
      </c>
      <c r="I29" s="7">
        <v>22</v>
      </c>
    </row>
    <row r="30" spans="1:9" x14ac:dyDescent="0.25">
      <c r="F30" s="5">
        <v>52</v>
      </c>
      <c r="G30" s="7">
        <v>10</v>
      </c>
      <c r="H30" s="7">
        <v>15</v>
      </c>
      <c r="I30" s="7">
        <v>25</v>
      </c>
    </row>
    <row r="31" spans="1:9" x14ac:dyDescent="0.25">
      <c r="F31" s="5">
        <v>53</v>
      </c>
      <c r="G31" s="7">
        <v>11</v>
      </c>
      <c r="H31" s="7">
        <v>13</v>
      </c>
      <c r="I31" s="7">
        <v>24</v>
      </c>
    </row>
    <row r="32" spans="1:9" x14ac:dyDescent="0.25">
      <c r="F32" s="5">
        <v>54</v>
      </c>
      <c r="G32" s="7">
        <v>5</v>
      </c>
      <c r="H32" s="7">
        <v>11</v>
      </c>
      <c r="I32" s="7">
        <v>16</v>
      </c>
    </row>
    <row r="33" spans="6:9" x14ac:dyDescent="0.25">
      <c r="F33" s="5">
        <v>55</v>
      </c>
      <c r="G33" s="7">
        <v>13</v>
      </c>
      <c r="H33" s="7">
        <v>5</v>
      </c>
      <c r="I33" s="7">
        <v>18</v>
      </c>
    </row>
    <row r="34" spans="6:9" x14ac:dyDescent="0.25">
      <c r="F34" s="5">
        <v>56</v>
      </c>
      <c r="G34" s="7">
        <v>13</v>
      </c>
      <c r="H34" s="7">
        <v>3</v>
      </c>
      <c r="I34" s="7">
        <v>16</v>
      </c>
    </row>
    <row r="35" spans="6:9" x14ac:dyDescent="0.25">
      <c r="F35" s="5">
        <v>57</v>
      </c>
      <c r="G35" s="7">
        <v>4</v>
      </c>
      <c r="H35" s="7">
        <v>4</v>
      </c>
      <c r="I35" s="7">
        <v>8</v>
      </c>
    </row>
    <row r="36" spans="6:9" x14ac:dyDescent="0.25">
      <c r="F36" s="5">
        <v>58</v>
      </c>
      <c r="G36" s="7">
        <v>8</v>
      </c>
      <c r="H36" s="7">
        <v>4</v>
      </c>
      <c r="I36" s="7">
        <v>12</v>
      </c>
    </row>
    <row r="37" spans="6:9" x14ac:dyDescent="0.25">
      <c r="F37" s="5">
        <v>59</v>
      </c>
      <c r="G37" s="7">
        <v>14</v>
      </c>
      <c r="H37" s="7">
        <v>6</v>
      </c>
      <c r="I37" s="7">
        <v>20</v>
      </c>
    </row>
    <row r="38" spans="6:9" x14ac:dyDescent="0.25">
      <c r="F38" s="5">
        <v>60</v>
      </c>
      <c r="G38" s="7">
        <v>8</v>
      </c>
      <c r="H38" s="7">
        <v>7</v>
      </c>
      <c r="I38" s="7">
        <v>15</v>
      </c>
    </row>
    <row r="39" spans="6:9" x14ac:dyDescent="0.25">
      <c r="F39" s="5">
        <v>61</v>
      </c>
      <c r="G39" s="7">
        <v>5</v>
      </c>
      <c r="H39" s="7">
        <v>4</v>
      </c>
      <c r="I39" s="7">
        <v>9</v>
      </c>
    </row>
    <row r="40" spans="6:9" x14ac:dyDescent="0.25">
      <c r="F40" s="5">
        <v>62</v>
      </c>
      <c r="G40" s="7">
        <v>9</v>
      </c>
      <c r="H40" s="7">
        <v>4</v>
      </c>
      <c r="I40" s="7">
        <v>13</v>
      </c>
    </row>
    <row r="41" spans="6:9" x14ac:dyDescent="0.25">
      <c r="F41" s="5">
        <v>63</v>
      </c>
      <c r="G41" s="7">
        <v>7</v>
      </c>
      <c r="H41" s="7">
        <v>2</v>
      </c>
      <c r="I41" s="7">
        <v>9</v>
      </c>
    </row>
    <row r="42" spans="6:9" x14ac:dyDescent="0.25">
      <c r="F42" s="5">
        <v>64</v>
      </c>
      <c r="G42" s="7">
        <v>7</v>
      </c>
      <c r="H42" s="7">
        <v>3</v>
      </c>
      <c r="I42" s="7">
        <v>10</v>
      </c>
    </row>
    <row r="43" spans="6:9" x14ac:dyDescent="0.25">
      <c r="F43" s="5">
        <v>65</v>
      </c>
      <c r="G43" s="7">
        <v>6</v>
      </c>
      <c r="H43" s="7">
        <v>3</v>
      </c>
      <c r="I43" s="7">
        <v>9</v>
      </c>
    </row>
    <row r="44" spans="6:9" x14ac:dyDescent="0.25">
      <c r="F44" s="5">
        <v>66</v>
      </c>
      <c r="G44" s="7">
        <v>8</v>
      </c>
      <c r="H44" s="7">
        <v>6</v>
      </c>
      <c r="I44" s="7">
        <v>14</v>
      </c>
    </row>
    <row r="45" spans="6:9" x14ac:dyDescent="0.25">
      <c r="F45" s="5">
        <v>67</v>
      </c>
      <c r="G45" s="7">
        <v>8</v>
      </c>
      <c r="H45" s="7">
        <v>2</v>
      </c>
      <c r="I45" s="7">
        <v>10</v>
      </c>
    </row>
    <row r="46" spans="6:9" x14ac:dyDescent="0.25">
      <c r="F46" s="5">
        <v>68</v>
      </c>
      <c r="G46" s="7">
        <v>3</v>
      </c>
      <c r="H46" s="7"/>
      <c r="I46" s="7">
        <v>3</v>
      </c>
    </row>
    <row r="47" spans="6:9" x14ac:dyDescent="0.25">
      <c r="F47" s="5">
        <v>69</v>
      </c>
      <c r="G47" s="7">
        <v>8</v>
      </c>
      <c r="H47" s="7"/>
      <c r="I47" s="7">
        <v>8</v>
      </c>
    </row>
    <row r="48" spans="6:9" x14ac:dyDescent="0.25">
      <c r="F48" s="5">
        <v>70</v>
      </c>
      <c r="G48" s="7">
        <v>3</v>
      </c>
      <c r="H48" s="7">
        <v>1</v>
      </c>
      <c r="I48" s="7">
        <v>4</v>
      </c>
    </row>
    <row r="49" spans="6:9" x14ac:dyDescent="0.25">
      <c r="F49" s="5">
        <v>71</v>
      </c>
      <c r="G49" s="7">
        <v>1</v>
      </c>
      <c r="H49" s="7"/>
      <c r="I49" s="7">
        <v>1</v>
      </c>
    </row>
    <row r="50" spans="6:9" x14ac:dyDescent="0.25">
      <c r="F50" s="5">
        <v>72</v>
      </c>
      <c r="G50" s="7"/>
      <c r="H50" s="7">
        <v>1</v>
      </c>
      <c r="I50" s="7">
        <v>1</v>
      </c>
    </row>
    <row r="51" spans="6:9" x14ac:dyDescent="0.25">
      <c r="F51" s="5">
        <v>73</v>
      </c>
      <c r="G51" s="7">
        <v>2</v>
      </c>
      <c r="H51" s="7">
        <v>2</v>
      </c>
      <c r="I51" s="7">
        <v>4</v>
      </c>
    </row>
    <row r="52" spans="6:9" x14ac:dyDescent="0.25">
      <c r="F52" s="5">
        <v>74</v>
      </c>
      <c r="G52" s="7"/>
      <c r="H52" s="7">
        <v>1</v>
      </c>
      <c r="I52" s="7">
        <v>1</v>
      </c>
    </row>
    <row r="53" spans="6:9" x14ac:dyDescent="0.25">
      <c r="F53" s="5">
        <v>78</v>
      </c>
      <c r="G53" s="7">
        <v>1</v>
      </c>
      <c r="H53" s="7">
        <v>1</v>
      </c>
      <c r="I53" s="7">
        <v>2</v>
      </c>
    </row>
    <row r="54" spans="6:9" x14ac:dyDescent="0.25">
      <c r="F54" s="5">
        <v>80</v>
      </c>
      <c r="G54" s="7">
        <v>1</v>
      </c>
      <c r="H54" s="7"/>
      <c r="I54" s="7">
        <v>1</v>
      </c>
    </row>
    <row r="55" spans="6:9" x14ac:dyDescent="0.25">
      <c r="F55" s="5">
        <v>89</v>
      </c>
      <c r="G55" s="7">
        <v>1</v>
      </c>
      <c r="H55" s="7"/>
      <c r="I55" s="7">
        <v>1</v>
      </c>
    </row>
    <row r="56" spans="6:9" x14ac:dyDescent="0.25">
      <c r="F56" s="5" t="s">
        <v>42</v>
      </c>
      <c r="G56" s="7">
        <v>519</v>
      </c>
      <c r="H56" s="7">
        <v>481</v>
      </c>
      <c r="I56" s="7">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A81DA-42EC-41EA-89EA-8323D36B2F5F}">
  <dimension ref="A1:P6"/>
  <sheetViews>
    <sheetView showGridLines="0" tabSelected="1" zoomScale="55" zoomScaleNormal="55" workbookViewId="0">
      <selection activeCell="U4" sqref="U4"/>
    </sheetView>
  </sheetViews>
  <sheetFormatPr defaultRowHeight="15" x14ac:dyDescent="0.25"/>
  <cols>
    <col min="1" max="16384" width="9.140625" style="9"/>
  </cols>
  <sheetData>
    <row r="1" spans="1:16" ht="15" customHeight="1" x14ac:dyDescent="0.25">
      <c r="A1" s="10" t="s">
        <v>49</v>
      </c>
      <c r="B1" s="10"/>
      <c r="C1" s="10"/>
      <c r="D1" s="10"/>
      <c r="E1" s="10"/>
      <c r="F1" s="10"/>
      <c r="G1" s="10"/>
      <c r="H1" s="10"/>
      <c r="I1" s="10"/>
      <c r="J1" s="10"/>
      <c r="K1" s="10"/>
      <c r="L1" s="10"/>
      <c r="M1" s="10"/>
      <c r="N1" s="10"/>
      <c r="O1" s="10"/>
      <c r="P1" s="11"/>
    </row>
    <row r="2" spans="1:16" ht="15" customHeight="1" x14ac:dyDescent="0.25">
      <c r="A2" s="10"/>
      <c r="B2" s="10"/>
      <c r="C2" s="10"/>
      <c r="D2" s="10"/>
      <c r="E2" s="10"/>
      <c r="F2" s="10"/>
      <c r="G2" s="10"/>
      <c r="H2" s="10"/>
      <c r="I2" s="10"/>
      <c r="J2" s="10"/>
      <c r="K2" s="10"/>
      <c r="L2" s="10"/>
      <c r="M2" s="10"/>
      <c r="N2" s="10"/>
      <c r="O2" s="10"/>
      <c r="P2" s="11"/>
    </row>
    <row r="3" spans="1:16" ht="15" customHeight="1" x14ac:dyDescent="0.25">
      <c r="A3" s="10"/>
      <c r="B3" s="10"/>
      <c r="C3" s="10"/>
      <c r="D3" s="10"/>
      <c r="E3" s="10"/>
      <c r="F3" s="10"/>
      <c r="G3" s="10"/>
      <c r="H3" s="10"/>
      <c r="I3" s="10"/>
      <c r="J3" s="10"/>
      <c r="K3" s="10"/>
      <c r="L3" s="10"/>
      <c r="M3" s="10"/>
      <c r="N3" s="10"/>
      <c r="O3" s="10"/>
      <c r="P3" s="11"/>
    </row>
    <row r="4" spans="1:16" ht="15" customHeight="1" x14ac:dyDescent="0.25">
      <c r="A4" s="10"/>
      <c r="B4" s="10"/>
      <c r="C4" s="10"/>
      <c r="D4" s="10"/>
      <c r="E4" s="10"/>
      <c r="F4" s="10"/>
      <c r="G4" s="10"/>
      <c r="H4" s="10"/>
      <c r="I4" s="10"/>
      <c r="J4" s="10"/>
      <c r="K4" s="10"/>
      <c r="L4" s="10"/>
      <c r="M4" s="10"/>
      <c r="N4" s="10"/>
      <c r="O4" s="10"/>
      <c r="P4" s="11"/>
    </row>
    <row r="5" spans="1:16" ht="36" customHeight="1" x14ac:dyDescent="0.25">
      <c r="A5" s="10"/>
      <c r="B5" s="10"/>
      <c r="C5" s="10"/>
      <c r="D5" s="10"/>
      <c r="E5" s="10"/>
      <c r="F5" s="10"/>
      <c r="G5" s="10"/>
      <c r="H5" s="10"/>
      <c r="I5" s="10"/>
      <c r="J5" s="10"/>
      <c r="K5" s="10"/>
      <c r="L5" s="10"/>
      <c r="M5" s="10"/>
      <c r="N5" s="10"/>
      <c r="O5" s="10"/>
      <c r="P5" s="11"/>
    </row>
    <row r="6" spans="1:16" x14ac:dyDescent="0.25">
      <c r="A6" s="12"/>
      <c r="B6" s="12"/>
      <c r="C6" s="12"/>
      <c r="D6" s="12"/>
      <c r="E6" s="12"/>
      <c r="F6" s="12"/>
      <c r="G6" s="12"/>
      <c r="H6" s="12"/>
      <c r="I6" s="12"/>
      <c r="J6" s="12"/>
      <c r="K6" s="12"/>
      <c r="L6" s="12"/>
      <c r="M6" s="12"/>
      <c r="N6" s="12"/>
      <c r="O6" s="12"/>
      <c r="P6" s="12"/>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AlfonsoEsteban MeseguerGarcia</dc:creator>
  <cp:lastModifiedBy>AlfonsoEsteban MeseguerGarcia</cp:lastModifiedBy>
  <dcterms:created xsi:type="dcterms:W3CDTF">2022-03-18T02:50:57Z</dcterms:created>
  <dcterms:modified xsi:type="dcterms:W3CDTF">2026-05-29T22:20:31Z</dcterms:modified>
</cp:coreProperties>
</file>